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atr\Downloads\"/>
    </mc:Choice>
  </mc:AlternateContent>
  <xr:revisionPtr revIDLastSave="0" documentId="8_{5AD699FA-82A4-4800-A14F-024C94A7D74B}" xr6:coauthVersionLast="47" xr6:coauthVersionMax="47" xr10:uidLastSave="{00000000-0000-0000-0000-000000000000}"/>
  <bookViews>
    <workbookView xWindow="11136" yWindow="0" windowWidth="12000" windowHeight="12336" xr2:uid="{BB2354A7-7E42-4F16-934F-9884D4B8A517}"/>
  </bookViews>
  <sheets>
    <sheet name="Planilha2" sheetId="2" r:id="rId1"/>
  </sheets>
  <externalReferences>
    <externalReference r:id="rId2"/>
  </externalReferences>
  <definedNames>
    <definedName name="aporte">Planilha2!$D$27</definedName>
    <definedName name="patrimonio">Planilha2!#REF!</definedName>
    <definedName name="qtd_anos">Planilha2!$D$28</definedName>
    <definedName name="rebdimento_carteira">Planilha2!$D$13</definedName>
    <definedName name="rendimento_carteira">Planilha2!$D$23</definedName>
    <definedName name="taxa_mensal">Planilha2!$D$19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4" i="2" l="1"/>
  <c r="C27" i="2" l="1"/>
  <c r="D27" i="2" s="1"/>
  <c r="C31" i="2"/>
  <c r="D36" i="2" s="1"/>
  <c r="C28" i="2"/>
  <c r="D28" i="2" s="1"/>
  <c r="D20" i="2"/>
  <c r="D21" i="2" s="1"/>
  <c r="C25" i="2"/>
  <c r="D25" i="2" s="1"/>
  <c r="C24" i="2"/>
  <c r="D24" i="2" s="1"/>
  <c r="C26" i="2"/>
  <c r="D26" i="2" s="1"/>
  <c r="D38" i="2"/>
  <c r="D35" i="2"/>
  <c r="D34" i="2"/>
  <c r="D39" i="2"/>
  <c r="D37" i="2"/>
  <c r="D40" i="2" l="1"/>
</calcChain>
</file>

<file path=xl/sharedStrings.xml><?xml version="1.0" encoding="utf-8"?>
<sst xmlns="http://schemas.openxmlformats.org/spreadsheetml/2006/main" count="29" uniqueCount="29">
  <si>
    <t>INVESTIMENTO MENSAL</t>
  </si>
  <si>
    <t>CONFIGURAÇÕESB11:D45B17BB11:D42</t>
  </si>
  <si>
    <t>Salário</t>
  </si>
  <si>
    <t>Rendimento Carteira</t>
  </si>
  <si>
    <t>Sugestão de Investimento (30%)</t>
  </si>
  <si>
    <t>Quanto investir por mês ?</t>
  </si>
  <si>
    <t>Por Quantos Anos ?</t>
  </si>
  <si>
    <t>Taxa de Rendimento mensal ?</t>
  </si>
  <si>
    <t>Patrimônio acumulado ?</t>
  </si>
  <si>
    <t>Dividendos Mensais ?</t>
  </si>
  <si>
    <t xml:space="preserve"> Cenários</t>
  </si>
  <si>
    <t>Quanto em 2 Anos ?</t>
  </si>
  <si>
    <t>Quanto em 5 Anos ?</t>
  </si>
  <si>
    <t>Quanto em 10 Anos ?</t>
  </si>
  <si>
    <t>Quanto em 20 Anos ?</t>
  </si>
  <si>
    <t>Quanto em 30 Anos ?</t>
  </si>
  <si>
    <t xml:space="preserve"> dividendo</t>
  </si>
  <si>
    <t>PERFIL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</si>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</sst>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44" formatCode="_-&quot;R$&quot;\ * #,##0.00_-;\-&quot;R$&quot;\ * #,##0.00_-;_-&quot;R$&quot;\ * &quot;-&quot;??_-;_-@_-"/>
    <numFmt numFmtId="165" formatCode="&quot;R$&quot;\ #,##0.00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8"/>
      <color theme="0"/>
      <name val="Segoe UI Semibold"/>
      <family val="2"/>
    </font>
    <font>
      <sz val="11"/>
      <color theme="1"/>
      <name val="Segoe UI Semibold"/>
      <family val="2"/>
    </font>
    <font>
      <sz val="12"/>
      <color theme="1"/>
      <name val="Segoe UI"/>
      <family val="2"/>
    </font>
    <font>
      <sz val="11"/>
      <color theme="1"/>
      <name val="Segoe UI"/>
      <family val="2"/>
    </font>
    <font>
      <b/>
      <sz val="20"/>
      <color theme="0"/>
      <name val="Segoe UI Semibold"/>
      <family val="2"/>
    </font>
    <font>
      <b/>
      <sz val="11"/>
      <color theme="1"/>
      <name val="Segoe UI"/>
      <family val="2"/>
    </font>
    <font>
      <b/>
      <sz val="12"/>
      <color theme="1"/>
      <name val="Segoe UI"/>
      <family val="2"/>
    </font>
    <font>
      <b/>
      <sz val="11"/>
      <color theme="0"/>
      <name val="Segoe UI Semibold"/>
      <family val="2"/>
    </font>
  </fonts>
  <fills count="9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/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thin">
        <color theme="0" tint="-0.34998626667073579"/>
      </bottom>
      <diagonal/>
    </border>
    <border>
      <left style="medium">
        <color indexed="64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medium">
        <color indexed="64"/>
      </bottom>
      <diagonal/>
    </border>
    <border>
      <left style="thin">
        <color theme="0" tint="-0.34998626667073579"/>
      </left>
      <right style="medium">
        <color indexed="64"/>
      </right>
      <top style="thin">
        <color theme="0" tint="-0.34998626667073579"/>
      </top>
      <bottom style="medium">
        <color indexed="64"/>
      </bottom>
      <diagonal/>
    </border>
    <border>
      <left style="medium">
        <color indexed="64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hair">
        <color theme="0" tint="-0.14996795556505021"/>
      </bottom>
      <diagonal/>
    </border>
    <border>
      <left style="medium">
        <color indexed="64"/>
      </left>
      <right style="hair">
        <color theme="0" tint="-0.14996795556505021"/>
      </right>
      <top style="hair">
        <color theme="0" tint="-0.1499679555650502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theme="0" tint="-0.14996795556505021"/>
      </left>
      <right style="hair">
        <color theme="0" tint="-0.14996795556505021"/>
      </right>
      <top/>
      <bottom style="medium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/>
    </xf>
    <xf numFmtId="0" fontId="4" fillId="4" borderId="2" xfId="0" applyFont="1" applyFill="1" applyBorder="1" applyAlignment="1">
      <alignment horizontal="right" vertical="center"/>
    </xf>
    <xf numFmtId="0" fontId="5" fillId="4" borderId="3" xfId="0" applyFont="1" applyFill="1" applyBorder="1" applyAlignment="1">
      <alignment horizontal="right"/>
    </xf>
    <xf numFmtId="0" fontId="4" fillId="4" borderId="4" xfId="0" applyFont="1" applyFill="1" applyBorder="1" applyAlignment="1">
      <alignment horizontal="right" vertical="center"/>
    </xf>
    <xf numFmtId="0" fontId="6" fillId="5" borderId="6" xfId="0" applyFont="1" applyFill="1" applyBorder="1" applyAlignment="1">
      <alignment horizontal="left" indent="3"/>
    </xf>
    <xf numFmtId="0" fontId="6" fillId="5" borderId="7" xfId="0" applyFont="1" applyFill="1" applyBorder="1" applyAlignment="1">
      <alignment horizontal="left" indent="3"/>
    </xf>
    <xf numFmtId="0" fontId="6" fillId="5" borderId="9" xfId="0" applyFont="1" applyFill="1" applyBorder="1" applyAlignment="1">
      <alignment horizontal="left" indent="3"/>
    </xf>
    <xf numFmtId="0" fontId="6" fillId="5" borderId="10" xfId="0" applyFont="1" applyFill="1" applyBorder="1" applyAlignment="1">
      <alignment horizontal="left" indent="3"/>
    </xf>
    <xf numFmtId="0" fontId="6" fillId="5" borderId="12" xfId="0" applyFont="1" applyFill="1" applyBorder="1" applyAlignment="1">
      <alignment horizontal="left" indent="3"/>
    </xf>
    <xf numFmtId="0" fontId="6" fillId="5" borderId="13" xfId="0" applyFont="1" applyFill="1" applyBorder="1" applyAlignment="1">
      <alignment horizontal="left" indent="3"/>
    </xf>
    <xf numFmtId="0" fontId="8" fillId="6" borderId="2" xfId="0" applyFont="1" applyFill="1" applyBorder="1" applyAlignment="1">
      <alignment horizontal="center" vertical="center"/>
    </xf>
    <xf numFmtId="0" fontId="8" fillId="6" borderId="3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165" fontId="9" fillId="0" borderId="8" xfId="0" applyNumberFormat="1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10" fontId="9" fillId="0" borderId="11" xfId="0" applyNumberFormat="1" applyFont="1" applyBorder="1" applyAlignment="1">
      <alignment horizontal="center"/>
    </xf>
    <xf numFmtId="0" fontId="10" fillId="7" borderId="9" xfId="0" applyFont="1" applyFill="1" applyBorder="1" applyAlignment="1">
      <alignment horizontal="left" indent="3"/>
    </xf>
    <xf numFmtId="0" fontId="10" fillId="7" borderId="10" xfId="0" applyFont="1" applyFill="1" applyBorder="1" applyAlignment="1">
      <alignment horizontal="left" indent="3"/>
    </xf>
    <xf numFmtId="8" fontId="9" fillId="7" borderId="11" xfId="0" applyNumberFormat="1" applyFont="1" applyFill="1" applyBorder="1" applyAlignment="1">
      <alignment horizontal="center"/>
    </xf>
    <xf numFmtId="0" fontId="10" fillId="7" borderId="12" xfId="0" applyFont="1" applyFill="1" applyBorder="1" applyAlignment="1">
      <alignment horizontal="left" indent="3"/>
    </xf>
    <xf numFmtId="0" fontId="10" fillId="7" borderId="13" xfId="0" applyFont="1" applyFill="1" applyBorder="1" applyAlignment="1">
      <alignment horizontal="left" indent="3"/>
    </xf>
    <xf numFmtId="8" fontId="9" fillId="7" borderId="14" xfId="0" applyNumberFormat="1" applyFont="1" applyFill="1" applyBorder="1" applyAlignment="1">
      <alignment horizontal="center"/>
    </xf>
    <xf numFmtId="0" fontId="6" fillId="7" borderId="15" xfId="0" applyFont="1" applyFill="1" applyBorder="1" applyAlignment="1">
      <alignment horizontal="left" indent="3"/>
    </xf>
    <xf numFmtId="165" fontId="7" fillId="7" borderId="16" xfId="0" applyNumberFormat="1" applyFont="1" applyFill="1" applyBorder="1" applyAlignment="1">
      <alignment horizontal="center"/>
    </xf>
    <xf numFmtId="0" fontId="6" fillId="7" borderId="17" xfId="0" applyFont="1" applyFill="1" applyBorder="1" applyAlignment="1">
      <alignment horizontal="left" indent="3"/>
    </xf>
    <xf numFmtId="0" fontId="6" fillId="7" borderId="18" xfId="0" applyFont="1" applyFill="1" applyBorder="1" applyAlignment="1">
      <alignment horizontal="left" indent="3"/>
    </xf>
    <xf numFmtId="0" fontId="8" fillId="6" borderId="19" xfId="0" applyFont="1" applyFill="1" applyBorder="1" applyAlignment="1">
      <alignment horizontal="center" vertical="center"/>
    </xf>
    <xf numFmtId="0" fontId="8" fillId="6" borderId="20" xfId="0" applyFont="1" applyFill="1" applyBorder="1" applyAlignment="1">
      <alignment horizontal="center" vertical="center"/>
    </xf>
    <xf numFmtId="165" fontId="7" fillId="7" borderId="21" xfId="0" applyNumberFormat="1" applyFont="1" applyFill="1" applyBorder="1" applyAlignment="1">
      <alignment horizontal="center"/>
    </xf>
    <xf numFmtId="0" fontId="11" fillId="6" borderId="1" xfId="0" applyFont="1" applyFill="1" applyBorder="1" applyAlignment="1">
      <alignment horizontal="center" vertical="center"/>
    </xf>
    <xf numFmtId="165" fontId="0" fillId="3" borderId="5" xfId="0" applyNumberFormat="1" applyFill="1" applyBorder="1"/>
    <xf numFmtId="165" fontId="7" fillId="0" borderId="8" xfId="1" applyNumberFormat="1" applyFont="1" applyBorder="1" applyAlignment="1">
      <alignment horizontal="left"/>
    </xf>
    <xf numFmtId="165" fontId="7" fillId="5" borderId="14" xfId="0" applyNumberFormat="1" applyFont="1" applyFill="1" applyBorder="1" applyAlignment="1">
      <alignment horizontal="left"/>
    </xf>
    <xf numFmtId="0" fontId="2" fillId="2" borderId="0" xfId="2"/>
    <xf numFmtId="0" fontId="2" fillId="2" borderId="0" xfId="2" applyAlignment="1">
      <alignment horizontal="center"/>
    </xf>
    <xf numFmtId="0" fontId="3" fillId="5" borderId="0" xfId="0" applyFont="1" applyFill="1"/>
    <xf numFmtId="165" fontId="3" fillId="5" borderId="0" xfId="1" applyNumberFormat="1" applyFont="1" applyFill="1" applyAlignment="1">
      <alignment horizontal="center"/>
    </xf>
    <xf numFmtId="0" fontId="3" fillId="8" borderId="0" xfId="0" applyFont="1" applyFill="1" applyAlignment="1">
      <alignment horizontal="center"/>
    </xf>
    <xf numFmtId="9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0" fontId="3" fillId="8" borderId="0" xfId="0" applyFont="1" applyFill="1"/>
    <xf numFmtId="165" fontId="3" fillId="8" borderId="0" xfId="0" applyNumberFormat="1" applyFont="1" applyFill="1" applyAlignment="1">
      <alignment horizontal="center"/>
    </xf>
    <xf numFmtId="10" fontId="7" fillId="0" borderId="11" xfId="0" applyNumberFormat="1" applyFont="1" applyBorder="1" applyAlignment="1">
      <alignment horizontal="left"/>
    </xf>
  </cellXfs>
  <cellStyles count="3">
    <cellStyle name="Moeda" xfId="1" builtinId="4"/>
    <cellStyle name="Neutro" xfId="2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Planilha2!$B$34:$B$39</c:f>
              <c:strCache>
                <c:ptCount val="6"/>
                <c:pt idx="0">
                  <c:v>PAPEL</c:v>
                </c:pt>
                <c:pt idx="1">
                  <c:v>TIJOLO</c:v>
                </c:pt>
                <c:pt idx="2">
                  <c:v>HÍBRIDOS</c:v>
                </c:pt>
                <c:pt idx="3">
                  <c:v>FOFs</c:v>
                </c:pt>
                <c:pt idx="4">
                  <c:v>DESENVOLVIMENTO</c:v>
                </c:pt>
                <c:pt idx="5">
                  <c:v>HOTELARIAS</c:v>
                </c:pt>
              </c:strCache>
            </c:strRef>
          </c:cat>
          <c:val>
            <c:numRef>
              <c:f>Planilha2!$C$34:$C$39</c:f>
              <c:numCache>
                <c:formatCode>0%</c:formatCode>
                <c:ptCount val="6"/>
                <c:pt idx="0">
                  <c:v>0.3</c:v>
                </c:pt>
                <c:pt idx="1">
                  <c:v>0.5</c:v>
                </c:pt>
                <c:pt idx="2">
                  <c:v>0.1</c:v>
                </c:pt>
                <c:pt idx="3">
                  <c:v>0.1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2A6-4935-A1BE-7028C5978681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137160</xdr:colOff>
      <xdr:row>0</xdr:row>
      <xdr:rowOff>0</xdr:rowOff>
    </xdr:from>
    <xdr:to>
      <xdr:col>3</xdr:col>
      <xdr:colOff>118683</xdr:colOff>
      <xdr:row>7</xdr:row>
      <xdr:rowOff>182527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B41EED8-4037-4AEC-A251-9149C5C4B9B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9606"/>
        <a:stretch/>
      </xdr:blipFill>
      <xdr:spPr>
        <a:xfrm>
          <a:off x="137160" y="0"/>
          <a:ext cx="5894643" cy="1462687"/>
        </a:xfrm>
        <a:prstGeom prst="rect">
          <a:avLst/>
        </a:prstGeom>
      </xdr:spPr>
    </xdr:pic>
    <xdr:clientData/>
  </xdr:twoCellAnchor>
  <xdr:twoCellAnchor>
    <xdr:from>
      <xdr:col>1</xdr:col>
      <xdr:colOff>1562100</xdr:colOff>
      <xdr:row>41</xdr:row>
      <xdr:rowOff>148590</xdr:rowOff>
    </xdr:from>
    <xdr:to>
      <xdr:col>2</xdr:col>
      <xdr:colOff>1196340</xdr:colOff>
      <xdr:row>53</xdr:row>
      <xdr:rowOff>129540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2613CFE-B0C9-6E58-CB5C-EB2F5EB0B0F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eatr\Downloads\a04b81b1-8e35-4e72-aeb9-98aed8ed4403.xlsx" TargetMode="External"/><Relationship Id="rId1" Type="http://schemas.openxmlformats.org/officeDocument/2006/relationships/externalLinkPath" Target="a04b81b1-8e35-4e72-aeb9-98aed8ed44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PP"/>
      <sheetName val="Planilha2"/>
    </sheetNames>
    <sheetDataSet>
      <sheetData sheetId="0">
        <row r="35">
          <cell r="C35" t="str">
            <v>Percentual Sugerido</v>
          </cell>
        </row>
        <row r="36">
          <cell r="B36" t="str">
            <v>PAPEL</v>
          </cell>
          <cell r="C36">
            <v>0.32</v>
          </cell>
        </row>
        <row r="37">
          <cell r="B37" t="str">
            <v>TIJOLO</v>
          </cell>
          <cell r="C37">
            <v>0.35</v>
          </cell>
        </row>
        <row r="38">
          <cell r="B38" t="str">
            <v>HÍBRIDOS</v>
          </cell>
          <cell r="C38">
            <v>0.08</v>
          </cell>
        </row>
        <row r="39">
          <cell r="B39" t="str">
            <v>FOFs</v>
          </cell>
          <cell r="C39">
            <v>0.05</v>
          </cell>
        </row>
        <row r="40">
          <cell r="B40" t="str">
            <v>DESENVOLVIMENTO</v>
          </cell>
          <cell r="C40">
            <v>0.1</v>
          </cell>
        </row>
        <row r="41">
          <cell r="B41" t="str">
            <v>HOTELARIAS</v>
          </cell>
          <cell r="C41">
            <v>0.1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A5C05B-5FC6-459F-948C-1D41E484938C}">
  <dimension ref="A10:D40"/>
  <sheetViews>
    <sheetView tabSelected="1" topLeftCell="A27" zoomScaleNormal="100" workbookViewId="0">
      <selection activeCell="C30" sqref="C30"/>
    </sheetView>
  </sheetViews>
  <sheetFormatPr defaultRowHeight="14.4" x14ac:dyDescent="0.3"/>
  <cols>
    <col min="1" max="1" width="4.77734375" customWidth="1"/>
    <col min="2" max="2" width="60.33203125" bestFit="1" customWidth="1"/>
    <col min="3" max="3" width="21.109375" customWidth="1"/>
    <col min="4" max="5" width="17.6640625" customWidth="1"/>
  </cols>
  <sheetData>
    <row r="10" spans="2:4" ht="15" thickBot="1" x14ac:dyDescent="0.35"/>
    <row r="11" spans="2:4" ht="27" x14ac:dyDescent="0.4">
      <c r="B11" s="2" t="s">
        <v>1</v>
      </c>
      <c r="C11" s="3"/>
      <c r="D11" s="4"/>
    </row>
    <row r="12" spans="2:4" ht="19.2" x14ac:dyDescent="0.45">
      <c r="B12" s="5" t="s">
        <v>2</v>
      </c>
      <c r="C12" s="6"/>
      <c r="D12" s="32">
        <v>2000</v>
      </c>
    </row>
    <row r="13" spans="2:4" ht="19.2" x14ac:dyDescent="0.45">
      <c r="B13" s="7" t="s">
        <v>3</v>
      </c>
      <c r="C13" s="8"/>
      <c r="D13" s="43">
        <v>6.0000000000000001E-3</v>
      </c>
    </row>
    <row r="14" spans="2:4" ht="19.8" thickBot="1" x14ac:dyDescent="0.5">
      <c r="B14" s="9" t="s">
        <v>4</v>
      </c>
      <c r="C14" s="10"/>
      <c r="D14" s="33">
        <f>D12*30%</f>
        <v>600</v>
      </c>
    </row>
    <row r="15" spans="2:4" ht="15" thickBot="1" x14ac:dyDescent="0.35"/>
    <row r="16" spans="2:4" ht="29.4" x14ac:dyDescent="0.3">
      <c r="B16" s="11" t="s">
        <v>0</v>
      </c>
      <c r="C16" s="12"/>
      <c r="D16" s="13"/>
    </row>
    <row r="17" spans="1:4" ht="19.2" x14ac:dyDescent="0.45">
      <c r="B17" s="5" t="s">
        <v>5</v>
      </c>
      <c r="C17" s="6"/>
      <c r="D17" s="14">
        <v>200</v>
      </c>
    </row>
    <row r="18" spans="1:4" ht="19.2" x14ac:dyDescent="0.45">
      <c r="B18" s="7" t="s">
        <v>6</v>
      </c>
      <c r="C18" s="8"/>
      <c r="D18" s="15">
        <v>5</v>
      </c>
    </row>
    <row r="19" spans="1:4" ht="19.2" x14ac:dyDescent="0.45">
      <c r="B19" s="7" t="s">
        <v>7</v>
      </c>
      <c r="C19" s="8"/>
      <c r="D19" s="16">
        <v>1.0789999999999999E-2</v>
      </c>
    </row>
    <row r="20" spans="1:4" ht="19.2" x14ac:dyDescent="0.45">
      <c r="B20" s="17" t="s">
        <v>8</v>
      </c>
      <c r="C20" s="18"/>
      <c r="D20" s="19">
        <f>FV(D19,D18*12,D17*-1)</f>
        <v>16755.382799697527</v>
      </c>
    </row>
    <row r="21" spans="1:4" ht="19.8" thickBot="1" x14ac:dyDescent="0.5">
      <c r="B21" s="20" t="s">
        <v>9</v>
      </c>
      <c r="C21" s="21"/>
      <c r="D21" s="22">
        <f>D20*$D$13</f>
        <v>100.53229679818516</v>
      </c>
    </row>
    <row r="22" spans="1:4" ht="15" thickBot="1" x14ac:dyDescent="0.35"/>
    <row r="23" spans="1:4" ht="30" thickBot="1" x14ac:dyDescent="0.35">
      <c r="B23" s="27" t="s">
        <v>10</v>
      </c>
      <c r="C23" s="28"/>
      <c r="D23" s="30" t="s">
        <v>16</v>
      </c>
    </row>
    <row r="24" spans="1:4" ht="19.2" x14ac:dyDescent="0.45">
      <c r="A24">
        <v>2</v>
      </c>
      <c r="B24" s="23" t="s">
        <v>11</v>
      </c>
      <c r="C24" s="24">
        <f>FV($D$19,$A24*12,$D$17*-1)</f>
        <v>5445.5254595290435</v>
      </c>
      <c r="D24" s="31">
        <f>C24*rebdimento_carteira</f>
        <v>32.673152757174265</v>
      </c>
    </row>
    <row r="25" spans="1:4" ht="19.2" x14ac:dyDescent="0.45">
      <c r="A25">
        <v>5</v>
      </c>
      <c r="B25" s="25" t="s">
        <v>12</v>
      </c>
      <c r="C25" s="24">
        <f t="shared" ref="C25:C28" si="0">FV($D$19,$A25*12,$D$17*-1)</f>
        <v>16755.382799697527</v>
      </c>
      <c r="D25" s="31">
        <f>C25*rebdimento_carteira</f>
        <v>100.53229679818516</v>
      </c>
    </row>
    <row r="26" spans="1:4" ht="19.2" x14ac:dyDescent="0.45">
      <c r="A26">
        <v>10</v>
      </c>
      <c r="B26" s="25" t="s">
        <v>13</v>
      </c>
      <c r="C26" s="24">
        <f t="shared" si="0"/>
        <v>48656.842506034438</v>
      </c>
      <c r="D26" s="31">
        <f>C26*rebdimento_carteira</f>
        <v>291.94105503620665</v>
      </c>
    </row>
    <row r="27" spans="1:4" ht="19.2" x14ac:dyDescent="0.45">
      <c r="A27">
        <v>20</v>
      </c>
      <c r="B27" s="25" t="s">
        <v>14</v>
      </c>
      <c r="C27" s="24">
        <f t="shared" si="0"/>
        <v>225039.68001941612</v>
      </c>
      <c r="D27" s="31">
        <f>C27*rebdimento_carteira</f>
        <v>1350.2380801164968</v>
      </c>
    </row>
    <row r="28" spans="1:4" ht="19.8" thickBot="1" x14ac:dyDescent="0.5">
      <c r="A28">
        <v>30</v>
      </c>
      <c r="B28" s="26" t="s">
        <v>15</v>
      </c>
      <c r="C28" s="29">
        <f t="shared" si="0"/>
        <v>864433.93100094295</v>
      </c>
      <c r="D28" s="31">
        <f>C28*rebdimento_carteira</f>
        <v>5186.6035860056581</v>
      </c>
    </row>
    <row r="30" spans="1:4" x14ac:dyDescent="0.3">
      <c r="B30" s="34" t="s">
        <v>17</v>
      </c>
      <c r="C30" s="35" t="s">
        <v>18</v>
      </c>
      <c r="D30" s="34"/>
    </row>
    <row r="31" spans="1:4" x14ac:dyDescent="0.3">
      <c r="B31" s="36" t="s">
        <v>19</v>
      </c>
      <c r="C31" s="37">
        <f>D17</f>
        <v>200</v>
      </c>
      <c r="D31" s="36"/>
    </row>
    <row r="33" spans="2:4" x14ac:dyDescent="0.3">
      <c r="B33" s="38" t="s">
        <v>20</v>
      </c>
      <c r="C33" s="38" t="s">
        <v>21</v>
      </c>
      <c r="D33" s="38" t="s">
        <v>22</v>
      </c>
    </row>
    <row r="34" spans="2:4" x14ac:dyDescent="0.3">
      <c r="B34" s="1" t="s">
        <v>23</v>
      </c>
      <c r="C34" s="39">
        <v>0.3</v>
      </c>
      <c r="D34" s="40">
        <f>C34*$C$31</f>
        <v>60</v>
      </c>
    </row>
    <row r="35" spans="2:4" x14ac:dyDescent="0.3">
      <c r="B35" s="1" t="s">
        <v>24</v>
      </c>
      <c r="C35" s="39">
        <v>0.5</v>
      </c>
      <c r="D35" s="40">
        <f t="shared" ref="D35:D39" si="1">C35*$C$31</f>
        <v>100</v>
      </c>
    </row>
    <row r="36" spans="2:4" x14ac:dyDescent="0.3">
      <c r="B36" s="1" t="s">
        <v>25</v>
      </c>
      <c r="C36" s="39">
        <v>0.1</v>
      </c>
      <c r="D36" s="40">
        <f t="shared" si="1"/>
        <v>20</v>
      </c>
    </row>
    <row r="37" spans="2:4" x14ac:dyDescent="0.3">
      <c r="B37" s="1" t="s">
        <v>26</v>
      </c>
      <c r="C37" s="39">
        <v>0.1</v>
      </c>
      <c r="D37" s="40">
        <f t="shared" si="1"/>
        <v>20</v>
      </c>
    </row>
    <row r="38" spans="2:4" x14ac:dyDescent="0.3">
      <c r="B38" s="1" t="s">
        <v>27</v>
      </c>
      <c r="C38" s="39">
        <v>0</v>
      </c>
      <c r="D38" s="40">
        <f t="shared" si="1"/>
        <v>0</v>
      </c>
    </row>
    <row r="39" spans="2:4" x14ac:dyDescent="0.3">
      <c r="B39" s="1" t="s">
        <v>28</v>
      </c>
      <c r="C39" s="39">
        <v>0</v>
      </c>
      <c r="D39" s="40">
        <f t="shared" si="1"/>
        <v>0</v>
      </c>
    </row>
    <row r="40" spans="2:4" x14ac:dyDescent="0.3">
      <c r="B40" s="41"/>
      <c r="C40" s="41"/>
      <c r="D40" s="42">
        <f>SUM(D34:D38)</f>
        <v>200</v>
      </c>
    </row>
  </sheetData>
  <mergeCells count="10">
    <mergeCell ref="B19:C19"/>
    <mergeCell ref="B20:C20"/>
    <mergeCell ref="B21:C21"/>
    <mergeCell ref="B23:C23"/>
    <mergeCell ref="B12:C12"/>
    <mergeCell ref="B13:C13"/>
    <mergeCell ref="B14:C14"/>
    <mergeCell ref="B16:D16"/>
    <mergeCell ref="B17:C17"/>
    <mergeCell ref="B18:C18"/>
  </mergeCells>
  <dataValidations count="1">
    <dataValidation type="list" allowBlank="1" showInputMessage="1" showErrorMessage="1" sqref="C30" xr:uid="{04B3071B-D027-415F-A378-1BE12340224E}">
      <formula1>"Conservador, Moderado, Agressivo"</formula1>
    </dataValidation>
  </dataValidations>
  <pageMargins left="0.511811024" right="0.511811024" top="0.78740157499999996" bottom="0.78740157499999996" header="0.31496062000000002" footer="0.31496062000000002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193916BCCAD6E469DB85302E920F017" ma:contentTypeVersion="10" ma:contentTypeDescription="Crie um novo documento." ma:contentTypeScope="" ma:versionID="9358d6536e949ccc015e1dbfcf2f57c3">
  <xsd:schema xmlns:xsd="http://www.w3.org/2001/XMLSchema" xmlns:xs="http://www.w3.org/2001/XMLSchema" xmlns:p="http://schemas.microsoft.com/office/2006/metadata/properties" xmlns:ns3="44f2fe4c-f5b1-4d22-b301-defcaac03edc" targetNamespace="http://schemas.microsoft.com/office/2006/metadata/properties" ma:root="true" ma:fieldsID="fffe005dab8fc54c9afadd5d9cf8d1d5" ns3:_="">
    <xsd:import namespace="44f2fe4c-f5b1-4d22-b301-defcaac03ed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f2fe4c-f5b1-4d22-b301-defcaac03e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44f2fe4c-f5b1-4d22-b301-defcaac03edc" xsi:nil="true"/>
  </documentManagement>
</p:properties>
</file>

<file path=customXml/itemProps1.xml><?xml version="1.0" encoding="utf-8"?>
<ds:datastoreItem xmlns:ds="http://schemas.openxmlformats.org/officeDocument/2006/customXml" ds:itemID="{F51C6F64-70C3-4974-B433-048EB5D1088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4f2fe4c-f5b1-4d22-b301-defcaac03ed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49F2491-D98B-4C21-BB3F-9CFCA606DED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199CBBF-A27F-481C-9BD6-69C5237E8AB5}">
  <ds:schemaRefs>
    <ds:schemaRef ds:uri="http://purl.org/dc/terms/"/>
    <ds:schemaRef ds:uri="http://purl.org/dc/elements/1.1/"/>
    <ds:schemaRef ds:uri="http://schemas.microsoft.com/office/2006/documentManagement/types"/>
    <ds:schemaRef ds:uri="44f2fe4c-f5b1-4d22-b301-defcaac03edc"/>
    <ds:schemaRef ds:uri="http://schemas.openxmlformats.org/package/2006/metadata/core-properties"/>
    <ds:schemaRef ds:uri="http://www.w3.org/XML/1998/namespace"/>
    <ds:schemaRef ds:uri="http://schemas.microsoft.com/office/infopath/2007/PartnerControls"/>
    <ds:schemaRef ds:uri="http://schemas.microsoft.com/office/2006/metadata/properties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5</vt:i4>
      </vt:variant>
    </vt:vector>
  </HeadingPairs>
  <TitlesOfParts>
    <vt:vector size="6" baseType="lpstr">
      <vt:lpstr>Planilha2</vt:lpstr>
      <vt:lpstr>aporte</vt:lpstr>
      <vt:lpstr>qtd_anos</vt:lpstr>
      <vt:lpstr>rebdimento_carteira</vt:lpstr>
      <vt:lpstr>rendimento_carteira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Beatriz   Rocha</dc:creator>
  <cp:lastModifiedBy>Beatriz   Rocha </cp:lastModifiedBy>
  <cp:lastPrinted>2026-10-19T00:59:05Z</cp:lastPrinted>
  <dcterms:created xsi:type="dcterms:W3CDTF">2026-10-18T23:47:14Z</dcterms:created>
  <dcterms:modified xsi:type="dcterms:W3CDTF">2026-10-19T00:59:19Z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0x010100C193916BCCAD6E469DB85302E920F017</vt:lpwstr>
  </property>
</Properties>
</file>